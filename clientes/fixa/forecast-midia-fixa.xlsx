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agem Financeira" sheetId="1" state="visible" r:id="rId1"/>
    <sheet name="Distribuição" sheetId="2" state="visible" r:id="rId2"/>
    <sheet name="Cronograma 6 Meses" sheetId="3" state="visible" r:id="rId3"/>
    <sheet name="Alertas e Critérios" sheetId="4" state="visible" r:id="rId4"/>
    <sheet name="Assumptions-Premiss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&quot;x&quot;"/>
  </numFmts>
  <fonts count="7">
    <font>
      <name val="Calibri"/>
      <family val="2"/>
      <color theme="1"/>
      <sz val="11"/>
      <scheme val="minor"/>
    </font>
    <font>
      <name val="Arial"/>
      <b val="1"/>
      <color rgb="001E2B53"/>
      <sz val="13"/>
    </font>
    <font>
      <name val="Arial"/>
      <i val="1"/>
      <color rgb="006B6B6B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E2B53"/>
      </patternFill>
    </fill>
    <fill>
      <patternFill patternType="solid">
        <fgColor rgb="00F3F5F9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  <xf numFmtId="3" fontId="6" fillId="4" borderId="1" pivotButton="0" quotePrefix="0" xfId="0"/>
    <xf numFmtId="3" fontId="4" fillId="0" borderId="0" pivotButton="0" quotePrefix="0" xfId="0"/>
    <xf numFmtId="164" fontId="6" fillId="4" borderId="1" pivotButton="0" quotePrefix="0" xfId="0"/>
    <xf numFmtId="4" fontId="6" fillId="4" borderId="1" pivotButton="0" quotePrefix="0" xfId="0"/>
    <xf numFmtId="9" fontId="6" fillId="4" borderId="1" pivotButton="0" quotePrefix="0" xfId="0"/>
    <xf numFmtId="3" fontId="5" fillId="0" borderId="1" pivotButton="0" quotePrefix="0" xfId="0"/>
    <xf numFmtId="3" fontId="4" fillId="0" borderId="1" pivotButton="0" quotePrefix="0" xfId="0"/>
    <xf numFmtId="165" fontId="5" fillId="0" borderId="1" pivotButton="0" quotePrefix="0" xfId="0"/>
    <xf numFmtId="165" fontId="4" fillId="0" borderId="1" pivotButton="0" quotePrefix="0" xfId="0"/>
    <xf numFmtId="4" fontId="5" fillId="0" borderId="1" pivotButton="0" quotePrefix="0" xfId="0"/>
    <xf numFmtId="4" fontId="4" fillId="0" borderId="1" pivotButton="0" quotePrefix="0" xfId="0"/>
    <xf numFmtId="166" fontId="5" fillId="0" borderId="1" pivotButton="0" quotePrefix="0" xfId="0"/>
    <xf numFmtId="166" fontId="4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4" borderId="0" pivotButton="0" quotePrefix="0" xfId="0"/>
    <xf numFmtId="164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V4</author>
  </authors>
  <commentList>
    <comment ref="E6" authorId="0" shapeId="0">
      <text>
        <t>M4–M6 são escala condicionada: só sobe se CPL ≤ R$ 65 por 2 semanas, ≥ 1 contrato digital/mês e SLA cumprido. Ainda não aprovada pelo Carlos.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Forecast de mídia — Fixa · Modelagem de 6 meses (cenário realista) [E]</t>
        </is>
      </c>
    </row>
    <row r="2">
      <c r="A2" s="2" t="inlineStr">
        <is>
          <t>Células em azul sobre amarelo são premissas: edite só elas. Tudo em preto é fórmula. Fontes das premissas na aba Assumptions/Premissas.</t>
        </is>
      </c>
    </row>
    <row r="4">
      <c r="A4" s="3" t="inlineStr">
        <is>
          <t>Métrica</t>
        </is>
      </c>
      <c r="B4" s="3" t="inlineStr">
        <is>
          <t>M1 · Setup e aprendizado</t>
        </is>
      </c>
      <c r="C4" s="3" t="inlineStr">
        <is>
          <t>M2 · Otimização 1</t>
        </is>
      </c>
      <c r="D4" s="3" t="inlineStr">
        <is>
          <t>M3 · Otimização 2</t>
        </is>
      </c>
      <c r="E4" s="3" t="inlineStr">
        <is>
          <t>M4 · Escala 1</t>
        </is>
      </c>
      <c r="F4" s="3" t="inlineStr">
        <is>
          <t>M5 · Escala 2</t>
        </is>
      </c>
      <c r="G4" s="3" t="inlineStr">
        <is>
          <t>M6 · Escala 3</t>
        </is>
      </c>
      <c r="H4" s="3" t="inlineStr">
        <is>
          <t>Total 6 meses</t>
        </is>
      </c>
    </row>
    <row r="5">
      <c r="A5" s="4" t="inlineStr">
        <is>
          <t>PREMISSAS</t>
        </is>
      </c>
    </row>
    <row r="6">
      <c r="A6" s="5" t="inlineStr">
        <is>
          <t>Verba do mês (R$)</t>
        </is>
      </c>
      <c r="B6" s="6" t="n">
        <v>3000</v>
      </c>
      <c r="C6" s="6" t="n">
        <v>3000</v>
      </c>
      <c r="D6" s="6" t="n">
        <v>3000</v>
      </c>
      <c r="E6" s="6" t="n">
        <v>4000</v>
      </c>
      <c r="F6" s="6" t="n">
        <v>5000</v>
      </c>
      <c r="G6" s="6" t="n">
        <v>5000</v>
      </c>
      <c r="H6" s="7">
        <f>SUM(B6:G6)</f>
        <v/>
      </c>
    </row>
    <row r="7">
      <c r="A7" s="5" t="inlineStr">
        <is>
          <t>% da verba no Google</t>
        </is>
      </c>
      <c r="B7" s="8" t="n">
        <v>0.6666666666666666</v>
      </c>
      <c r="C7" s="8" t="n">
        <v>0.6666666666666666</v>
      </c>
      <c r="D7" s="8" t="n">
        <v>0.6666666666666666</v>
      </c>
      <c r="E7" s="8" t="n">
        <v>0.6666666666666666</v>
      </c>
      <c r="F7" s="8" t="n">
        <v>0.6666666666666666</v>
      </c>
      <c r="G7" s="8" t="n">
        <v>0.6666666666666666</v>
      </c>
    </row>
    <row r="8">
      <c r="A8" s="5" t="inlineStr">
        <is>
          <t>Google: CPC (R$)</t>
        </is>
      </c>
      <c r="B8" s="9" t="n">
        <v>7.8</v>
      </c>
      <c r="C8" s="9" t="n">
        <v>7.5</v>
      </c>
      <c r="D8" s="9" t="n">
        <v>7</v>
      </c>
      <c r="E8" s="9" t="n">
        <v>7.2</v>
      </c>
      <c r="F8" s="9" t="n">
        <v>7.5</v>
      </c>
      <c r="G8" s="9" t="n">
        <v>7.3</v>
      </c>
    </row>
    <row r="9">
      <c r="A9" s="5" t="inlineStr">
        <is>
          <t>Google: CTR</t>
        </is>
      </c>
      <c r="B9" s="8" t="n">
        <v>0.042</v>
      </c>
      <c r="C9" s="8" t="n">
        <v>0.045</v>
      </c>
      <c r="D9" s="8" t="n">
        <v>0.05</v>
      </c>
      <c r="E9" s="8" t="n">
        <v>0.05</v>
      </c>
      <c r="F9" s="8" t="n">
        <v>0.048</v>
      </c>
      <c r="G9" s="8" t="n">
        <v>0.05</v>
      </c>
    </row>
    <row r="10">
      <c r="A10" s="5" t="inlineStr">
        <is>
          <t>Google: conversão da página</t>
        </is>
      </c>
      <c r="B10" s="8" t="n">
        <v>0.074</v>
      </c>
      <c r="C10" s="8" t="n">
        <v>0.08</v>
      </c>
      <c r="D10" s="8" t="n">
        <v>0.09</v>
      </c>
      <c r="E10" s="8" t="n">
        <v>0.09</v>
      </c>
      <c r="F10" s="8" t="n">
        <v>0.09</v>
      </c>
      <c r="G10" s="8" t="n">
        <v>0.095</v>
      </c>
    </row>
    <row r="11">
      <c r="A11" s="5" t="inlineStr">
        <is>
          <t>Meta: CPC (R$)</t>
        </is>
      </c>
      <c r="B11" s="9" t="n">
        <v>2.8</v>
      </c>
      <c r="C11" s="9" t="n">
        <v>2.7</v>
      </c>
      <c r="D11" s="9" t="n">
        <v>2.5</v>
      </c>
      <c r="E11" s="9" t="n">
        <v>2.6</v>
      </c>
      <c r="F11" s="9" t="n">
        <v>2.7</v>
      </c>
      <c r="G11" s="9" t="n">
        <v>2.6</v>
      </c>
    </row>
    <row r="12">
      <c r="A12" s="5" t="inlineStr">
        <is>
          <t>Meta: CTR</t>
        </is>
      </c>
      <c r="B12" s="8" t="n">
        <v>0.01</v>
      </c>
      <c r="C12" s="8" t="n">
        <v>0.01</v>
      </c>
      <c r="D12" s="8" t="n">
        <v>0.012</v>
      </c>
      <c r="E12" s="8" t="n">
        <v>0.012</v>
      </c>
      <c r="F12" s="8" t="n">
        <v>0.011</v>
      </c>
      <c r="G12" s="8" t="n">
        <v>0.012</v>
      </c>
    </row>
    <row r="13">
      <c r="A13" s="5" t="inlineStr">
        <is>
          <t>Meta: conversão da página</t>
        </is>
      </c>
      <c r="B13" s="8" t="n">
        <v>0.056</v>
      </c>
      <c r="C13" s="8" t="n">
        <v>0.055</v>
      </c>
      <c r="D13" s="8" t="n">
        <v>0.06</v>
      </c>
      <c r="E13" s="8" t="n">
        <v>0.06</v>
      </c>
      <c r="F13" s="8" t="n">
        <v>0.06</v>
      </c>
      <c r="G13" s="8" t="n">
        <v>0.062</v>
      </c>
    </row>
    <row r="14">
      <c r="A14" s="5" t="inlineStr">
        <is>
          <t>% de leads 3★+ (MQL)</t>
        </is>
      </c>
      <c r="B14" s="10" t="n">
        <v>0.45</v>
      </c>
      <c r="C14" s="10" t="n">
        <v>0.5</v>
      </c>
      <c r="D14" s="10" t="n">
        <v>0.5</v>
      </c>
      <c r="E14" s="10" t="n">
        <v>0.5</v>
      </c>
      <c r="F14" s="10" t="n">
        <v>0.5</v>
      </c>
      <c r="G14" s="10" t="n">
        <v>0.5</v>
      </c>
    </row>
    <row r="15">
      <c r="A15" s="5" t="inlineStr">
        <is>
          <t>% de leads que chegam à análise do caso</t>
        </is>
      </c>
      <c r="B15" s="10" t="n">
        <v>0.22</v>
      </c>
      <c r="C15" s="10" t="n">
        <v>0.26</v>
      </c>
      <c r="D15" s="10" t="n">
        <v>0.29</v>
      </c>
      <c r="E15" s="10" t="n">
        <v>0.29</v>
      </c>
      <c r="F15" s="10" t="n">
        <v>0.29</v>
      </c>
      <c r="G15" s="10" t="n">
        <v>0.29</v>
      </c>
    </row>
    <row r="16">
      <c r="A16" s="5" t="inlineStr">
        <is>
          <t>% de comparecimento na análise</t>
        </is>
      </c>
      <c r="B16" s="10" t="n">
        <v>0.8</v>
      </c>
      <c r="C16" s="10" t="n">
        <v>0.8</v>
      </c>
      <c r="D16" s="10" t="n">
        <v>0.8</v>
      </c>
      <c r="E16" s="10" t="n">
        <v>0.8</v>
      </c>
      <c r="F16" s="10" t="n">
        <v>0.8</v>
      </c>
      <c r="G16" s="10" t="n">
        <v>0.8</v>
      </c>
    </row>
    <row r="17">
      <c r="A17" s="5" t="inlineStr">
        <is>
          <t>% de análises com proposta</t>
        </is>
      </c>
      <c r="B17" s="10" t="n">
        <v>0.57</v>
      </c>
      <c r="C17" s="10" t="n">
        <v>0.57</v>
      </c>
      <c r="D17" s="10" t="n">
        <v>0.57</v>
      </c>
      <c r="E17" s="10" t="n">
        <v>0.57</v>
      </c>
      <c r="F17" s="10" t="n">
        <v>0.57</v>
      </c>
      <c r="G17" s="10" t="n">
        <v>0.57</v>
      </c>
    </row>
    <row r="18">
      <c r="A18" s="5" t="inlineStr">
        <is>
          <t>% de propostas fechadas</t>
        </is>
      </c>
      <c r="B18" s="10" t="n">
        <v>0.3</v>
      </c>
      <c r="C18" s="10" t="n">
        <v>0.3</v>
      </c>
      <c r="D18" s="10" t="n">
        <v>0.3</v>
      </c>
      <c r="E18" s="10" t="n">
        <v>0.3</v>
      </c>
      <c r="F18" s="10" t="n">
        <v>0.3</v>
      </c>
      <c r="G18" s="10" t="n">
        <v>0.3</v>
      </c>
    </row>
    <row r="19">
      <c r="A19" s="5" t="inlineStr">
        <is>
          <t>Ticket médio ponderado (R$)</t>
        </is>
      </c>
      <c r="B19" s="6" t="n">
        <v>10100</v>
      </c>
      <c r="C19" s="6" t="n">
        <v>10100</v>
      </c>
      <c r="D19" s="6" t="n">
        <v>10100</v>
      </c>
      <c r="E19" s="6" t="n">
        <v>10100</v>
      </c>
      <c r="F19" s="6" t="n">
        <v>10100</v>
      </c>
      <c r="G19" s="6" t="n">
        <v>10100</v>
      </c>
    </row>
    <row r="21">
      <c r="A21" s="4" t="inlineStr">
        <is>
          <t>RESULTADOS (fórmulas)</t>
        </is>
      </c>
    </row>
    <row r="22">
      <c r="A22" s="5" t="inlineStr">
        <is>
          <t>Verba Google (R$)</t>
        </is>
      </c>
      <c r="B22" s="11">
        <f>B6*B7</f>
        <v/>
      </c>
      <c r="C22" s="11">
        <f>C6*C7</f>
        <v/>
      </c>
      <c r="D22" s="11">
        <f>D6*D7</f>
        <v/>
      </c>
      <c r="E22" s="11">
        <f>E6*E7</f>
        <v/>
      </c>
      <c r="F22" s="11">
        <f>F6*F7</f>
        <v/>
      </c>
      <c r="G22" s="11">
        <f>G6*G7</f>
        <v/>
      </c>
      <c r="H22" s="12">
        <f>SUM(B22:G22)</f>
        <v/>
      </c>
    </row>
    <row r="23">
      <c r="A23" s="5" t="inlineStr">
        <is>
          <t>Verba Meta (R$)</t>
        </is>
      </c>
      <c r="B23" s="11">
        <f>B6-B22</f>
        <v/>
      </c>
      <c r="C23" s="11">
        <f>C6-C22</f>
        <v/>
      </c>
      <c r="D23" s="11">
        <f>D6-D22</f>
        <v/>
      </c>
      <c r="E23" s="11">
        <f>E6-E22</f>
        <v/>
      </c>
      <c r="F23" s="11">
        <f>F6-F22</f>
        <v/>
      </c>
      <c r="G23" s="11">
        <f>G6-G22</f>
        <v/>
      </c>
      <c r="H23" s="12">
        <f>SUM(B23:G23)</f>
        <v/>
      </c>
    </row>
    <row r="24">
      <c r="A24" s="5" t="inlineStr">
        <is>
          <t>Cliques Google</t>
        </is>
      </c>
      <c r="B24" s="11">
        <f>B22/B8</f>
        <v/>
      </c>
      <c r="C24" s="11">
        <f>C22/C8</f>
        <v/>
      </c>
      <c r="D24" s="11">
        <f>D22/D8</f>
        <v/>
      </c>
      <c r="E24" s="11">
        <f>E22/E8</f>
        <v/>
      </c>
      <c r="F24" s="11">
        <f>F22/F8</f>
        <v/>
      </c>
      <c r="G24" s="11">
        <f>G22/G8</f>
        <v/>
      </c>
      <c r="H24" s="12">
        <f>SUM(B24:G24)</f>
        <v/>
      </c>
    </row>
    <row r="25">
      <c r="A25" s="5" t="inlineStr">
        <is>
          <t>Cliques Meta</t>
        </is>
      </c>
      <c r="B25" s="11">
        <f>B23/B11</f>
        <v/>
      </c>
      <c r="C25" s="11">
        <f>C23/C11</f>
        <v/>
      </c>
      <c r="D25" s="11">
        <f>D23/D11</f>
        <v/>
      </c>
      <c r="E25" s="11">
        <f>E23/E11</f>
        <v/>
      </c>
      <c r="F25" s="11">
        <f>F23/F11</f>
        <v/>
      </c>
      <c r="G25" s="11">
        <f>G23/G11</f>
        <v/>
      </c>
      <c r="H25" s="12">
        <f>SUM(B25:G25)</f>
        <v/>
      </c>
    </row>
    <row r="26">
      <c r="A26" s="5" t="inlineStr">
        <is>
          <t>Impressões</t>
        </is>
      </c>
      <c r="B26" s="11">
        <f>B24/B9+B25/B12</f>
        <v/>
      </c>
      <c r="C26" s="11">
        <f>C24/C9+C25/C12</f>
        <v/>
      </c>
      <c r="D26" s="11">
        <f>D24/D9+D25/D12</f>
        <v/>
      </c>
      <c r="E26" s="11">
        <f>E24/E9+E25/E12</f>
        <v/>
      </c>
      <c r="F26" s="11">
        <f>F24/F9+F25/F12</f>
        <v/>
      </c>
      <c r="G26" s="11">
        <f>G24/G9+G25/G12</f>
        <v/>
      </c>
      <c r="H26" s="12">
        <f>SUM(B26:G26)</f>
        <v/>
      </c>
    </row>
    <row r="27">
      <c r="A27" s="5" t="inlineStr">
        <is>
          <t>Leads Google</t>
        </is>
      </c>
      <c r="B27" s="13">
        <f>B24*B10</f>
        <v/>
      </c>
      <c r="C27" s="13">
        <f>C24*C10</f>
        <v/>
      </c>
      <c r="D27" s="13">
        <f>D24*D10</f>
        <v/>
      </c>
      <c r="E27" s="13">
        <f>E24*E10</f>
        <v/>
      </c>
      <c r="F27" s="13">
        <f>F24*F10</f>
        <v/>
      </c>
      <c r="G27" s="13">
        <f>G24*G10</f>
        <v/>
      </c>
      <c r="H27" s="14">
        <f>SUM(B27:G27)</f>
        <v/>
      </c>
    </row>
    <row r="28">
      <c r="A28" s="5" t="inlineStr">
        <is>
          <t>Leads Meta</t>
        </is>
      </c>
      <c r="B28" s="13">
        <f>B25*B13</f>
        <v/>
      </c>
      <c r="C28" s="13">
        <f>C25*C13</f>
        <v/>
      </c>
      <c r="D28" s="13">
        <f>D25*D13</f>
        <v/>
      </c>
      <c r="E28" s="13">
        <f>E25*E13</f>
        <v/>
      </c>
      <c r="F28" s="13">
        <f>F25*F13</f>
        <v/>
      </c>
      <c r="G28" s="13">
        <f>G25*G13</f>
        <v/>
      </c>
      <c r="H28" s="14">
        <f>SUM(B28:G28)</f>
        <v/>
      </c>
    </row>
    <row r="29">
      <c r="A29" s="5" t="inlineStr">
        <is>
          <t>Leads totais</t>
        </is>
      </c>
      <c r="B29" s="13">
        <f>B27+B28</f>
        <v/>
      </c>
      <c r="C29" s="13">
        <f>C27+C28</f>
        <v/>
      </c>
      <c r="D29" s="13">
        <f>D27+D28</f>
        <v/>
      </c>
      <c r="E29" s="13">
        <f>E27+E28</f>
        <v/>
      </c>
      <c r="F29" s="13">
        <f>F27+F28</f>
        <v/>
      </c>
      <c r="G29" s="13">
        <f>G27+G28</f>
        <v/>
      </c>
      <c r="H29" s="14">
        <f>SUM(B29:G29)</f>
        <v/>
      </c>
    </row>
    <row r="30">
      <c r="A30" s="5" t="inlineStr">
        <is>
          <t>CPL médio (R$)</t>
        </is>
      </c>
      <c r="B30" s="15">
        <f>IFERROR(B6/B29,0)</f>
        <v/>
      </c>
      <c r="C30" s="15">
        <f>IFERROR(C6/C29,0)</f>
        <v/>
      </c>
      <c r="D30" s="15">
        <f>IFERROR(D6/D29,0)</f>
        <v/>
      </c>
      <c r="E30" s="15">
        <f>IFERROR(E6/E29,0)</f>
        <v/>
      </c>
      <c r="F30" s="15">
        <f>IFERROR(F6/F29,0)</f>
        <v/>
      </c>
      <c r="G30" s="15">
        <f>IFERROR(G6/G29,0)</f>
        <v/>
      </c>
      <c r="H30" s="16">
        <f>IFERROR(SUM(B6:G6)/H29,0)</f>
        <v/>
      </c>
    </row>
    <row r="31">
      <c r="A31" s="5" t="inlineStr">
        <is>
          <t>MQLs (3★+)</t>
        </is>
      </c>
      <c r="B31" s="13">
        <f>B29*B14</f>
        <v/>
      </c>
      <c r="C31" s="13">
        <f>C29*C14</f>
        <v/>
      </c>
      <c r="D31" s="13">
        <f>D29*D14</f>
        <v/>
      </c>
      <c r="E31" s="13">
        <f>E29*E14</f>
        <v/>
      </c>
      <c r="F31" s="13">
        <f>F29*F14</f>
        <v/>
      </c>
      <c r="G31" s="13">
        <f>G29*G14</f>
        <v/>
      </c>
      <c r="H31" s="14">
        <f>SUM(B31:G31)</f>
        <v/>
      </c>
    </row>
    <row r="32">
      <c r="A32" s="5" t="inlineStr">
        <is>
          <t>Análises de caso</t>
        </is>
      </c>
      <c r="B32" s="13">
        <f>B29*B15</f>
        <v/>
      </c>
      <c r="C32" s="13">
        <f>C29*C15</f>
        <v/>
      </c>
      <c r="D32" s="13">
        <f>D29*D15</f>
        <v/>
      </c>
      <c r="E32" s="13">
        <f>E29*E15</f>
        <v/>
      </c>
      <c r="F32" s="13">
        <f>F29*F15</f>
        <v/>
      </c>
      <c r="G32" s="13">
        <f>G29*G15</f>
        <v/>
      </c>
      <c r="H32" s="14">
        <f>SUM(B32:G32)</f>
        <v/>
      </c>
    </row>
    <row r="33">
      <c r="A33" s="5" t="inlineStr">
        <is>
          <t>Contratos</t>
        </is>
      </c>
      <c r="B33" s="15">
        <f>B32*B16*B17*B18</f>
        <v/>
      </c>
      <c r="C33" s="15">
        <f>C32*C16*C17*C18</f>
        <v/>
      </c>
      <c r="D33" s="15">
        <f>D32*D16*D17*D18</f>
        <v/>
      </c>
      <c r="E33" s="15">
        <f>E32*E16*E17*E18</f>
        <v/>
      </c>
      <c r="F33" s="15">
        <f>F32*F16*F17*F18</f>
        <v/>
      </c>
      <c r="G33" s="15">
        <f>G32*G16*G17*G18</f>
        <v/>
      </c>
      <c r="H33" s="16">
        <f>SUM(B33:G33)</f>
        <v/>
      </c>
    </row>
    <row r="34">
      <c r="A34" s="5" t="inlineStr">
        <is>
          <t>CAC de mídia (R$)</t>
        </is>
      </c>
      <c r="B34" s="11">
        <f>IFERROR(B6/B33,0)</f>
        <v/>
      </c>
      <c r="C34" s="11">
        <f>IFERROR(C6/C33,0)</f>
        <v/>
      </c>
      <c r="D34" s="11">
        <f>IFERROR(D6/D33,0)</f>
        <v/>
      </c>
      <c r="E34" s="11">
        <f>IFERROR(E6/E33,0)</f>
        <v/>
      </c>
      <c r="F34" s="11">
        <f>IFERROR(F6/F33,0)</f>
        <v/>
      </c>
      <c r="G34" s="11">
        <f>IFERROR(G6/G33,0)</f>
        <v/>
      </c>
      <c r="H34" s="12">
        <f>IFERROR(SUM(B6:G6)/H33,0)</f>
        <v/>
      </c>
    </row>
    <row r="35">
      <c r="A35" s="5" t="inlineStr">
        <is>
          <t>Valor contratado (R$)</t>
        </is>
      </c>
      <c r="B35" s="11">
        <f>B33*B19</f>
        <v/>
      </c>
      <c r="C35" s="11">
        <f>C33*C19</f>
        <v/>
      </c>
      <c r="D35" s="11">
        <f>D33*D19</f>
        <v/>
      </c>
      <c r="E35" s="11">
        <f>E33*E19</f>
        <v/>
      </c>
      <c r="F35" s="11">
        <f>F33*F19</f>
        <v/>
      </c>
      <c r="G35" s="11">
        <f>G33*G19</f>
        <v/>
      </c>
      <c r="H35" s="12">
        <f>SUM(B35:G35)</f>
        <v/>
      </c>
    </row>
    <row r="36">
      <c r="A36" s="5" t="inlineStr">
        <is>
          <t>ROAS (valor contratado ÷ verba)</t>
        </is>
      </c>
      <c r="B36" s="17">
        <f>IFERROR(B35/B6,0)</f>
        <v/>
      </c>
      <c r="C36" s="17">
        <f>IFERROR(C35/C6,0)</f>
        <v/>
      </c>
      <c r="D36" s="17">
        <f>IFERROR(D35/D6,0)</f>
        <v/>
      </c>
      <c r="E36" s="17">
        <f>IFERROR(E35/E6,0)</f>
        <v/>
      </c>
      <c r="F36" s="17">
        <f>IFERROR(F35/F6,0)</f>
        <v/>
      </c>
      <c r="G36" s="17">
        <f>IFERROR(G35/G6,0)</f>
        <v/>
      </c>
      <c r="H36" s="18">
        <f>IFERROR(H35/SUM(B6:G6),0)</f>
        <v/>
      </c>
    </row>
    <row r="38">
      <c r="A38" s="19" t="inlineStr">
        <is>
          <t>Cenários (6 meses, calculados pelo mesmo modelo com CPL e conversão ajustados)</t>
        </is>
      </c>
    </row>
    <row r="39">
      <c r="A39" s="20" t="inlineStr">
        <is>
          <t>Cenário</t>
        </is>
      </c>
      <c r="B39" s="20" t="inlineStr">
        <is>
          <t>Investimento</t>
        </is>
      </c>
      <c r="C39" s="20" t="inlineStr">
        <is>
          <t>Leads</t>
        </is>
      </c>
      <c r="D39" s="20" t="inlineStr">
        <is>
          <t>CPL médio</t>
        </is>
      </c>
      <c r="E39" s="20" t="inlineStr">
        <is>
          <t>Contratos</t>
        </is>
      </c>
      <c r="F39" s="20" t="inlineStr">
        <is>
          <t>Valor contratado</t>
        </is>
      </c>
      <c r="G39" s="20" t="inlineStr">
        <is>
          <t>ROAS</t>
        </is>
      </c>
    </row>
    <row r="40">
      <c r="A40" s="21" t="inlineStr">
        <is>
          <t>Pessimista (CPL +30%, conversão −20%)</t>
        </is>
      </c>
      <c r="B40" s="21" t="n">
        <v>23000</v>
      </c>
      <c r="C40" s="21" t="n">
        <v>272.8</v>
      </c>
      <c r="D40" s="21" t="n">
        <v>84.31</v>
      </c>
      <c r="E40" s="21" t="n">
        <v>8.300000000000001</v>
      </c>
      <c r="F40" s="21" t="n">
        <v>84065</v>
      </c>
      <c r="G40" s="21" t="n">
        <v>3.65</v>
      </c>
    </row>
    <row r="41">
      <c r="A41" s="21" t="inlineStr">
        <is>
          <t>Realista</t>
        </is>
      </c>
      <c r="B41" s="21" t="n">
        <v>23000</v>
      </c>
      <c r="C41" s="21" t="n">
        <v>354.6</v>
      </c>
      <c r="D41" s="21" t="n">
        <v>64.86</v>
      </c>
      <c r="E41" s="21" t="n">
        <v>13.5</v>
      </c>
      <c r="F41" s="21" t="n">
        <v>136608</v>
      </c>
      <c r="G41" s="21" t="n">
        <v>5.94</v>
      </c>
    </row>
    <row r="42">
      <c r="A42" s="21" t="inlineStr">
        <is>
          <t>Otimista (CPL −20%, conversão +20%)</t>
        </is>
      </c>
      <c r="B42" s="21" t="n">
        <v>23000</v>
      </c>
      <c r="C42" s="21" t="n">
        <v>443.2</v>
      </c>
      <c r="D42" s="21" t="n">
        <v>51.9</v>
      </c>
      <c r="E42" s="21" t="n">
        <v>20.3</v>
      </c>
      <c r="F42" s="21" t="n">
        <v>204912</v>
      </c>
      <c r="G42" s="21" t="n">
        <v>8.91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34" customWidth="1" min="5" max="5"/>
    <col width="34" customWidth="1" min="6" max="6"/>
    <col width="40" customWidth="1" min="7" max="7"/>
    <col width="30" customWidth="1" min="8" max="8"/>
  </cols>
  <sheetData>
    <row r="1">
      <c r="A1" s="1" t="inlineStr">
        <is>
          <t>Distribuição da verba (M1–M3, R$ 3.000/mês)</t>
        </is>
      </c>
    </row>
    <row r="3">
      <c r="A3" s="20" t="inlineStr">
        <is>
          <t>Canal</t>
        </is>
      </c>
      <c r="B3" s="20" t="inlineStr">
        <is>
          <t>R$/mês</t>
        </is>
      </c>
      <c r="C3" s="20" t="inlineStr">
        <is>
          <t>% da verba</t>
        </is>
      </c>
      <c r="D3" s="20" t="inlineStr">
        <is>
          <t>Objetivo</t>
        </is>
      </c>
    </row>
    <row r="4">
      <c r="A4" s="5" t="inlineStr">
        <is>
          <t>Google Ads (Search)</t>
        </is>
      </c>
      <c r="B4" s="22" t="n">
        <v>2000</v>
      </c>
      <c r="C4" s="23">
        <f>B4/SUM($B$4:$B$5)</f>
        <v/>
      </c>
      <c r="D4" s="5" t="inlineStr">
        <is>
          <t>Captar quem já busca a solução: Regularização/REURB (R$ 1.000), Usucapião + Inventário (R$ 600), Marca (R$ 400)</t>
        </is>
      </c>
    </row>
    <row r="5">
      <c r="A5" s="5" t="inlineStr">
        <is>
          <t>Meta Ads (Instagram e Facebook)</t>
        </is>
      </c>
      <c r="B5" s="22" t="n">
        <v>1000</v>
      </c>
      <c r="C5" s="23">
        <f>B5/SUM($B$4:$B$5)</f>
        <v/>
      </c>
      <c r="D5" s="5" t="inlineStr">
        <is>
          <t>Público frio de 35 a 70 anos em Caxias do Sul e Serra (R$ 600) e retargeting de quem visitou a LP ou engajou no Instagram (R$ 400)</t>
        </is>
      </c>
    </row>
    <row r="7">
      <c r="A7" s="20" t="inlineStr">
        <is>
          <t>Fase do funil</t>
        </is>
      </c>
      <c r="B7" s="20" t="inlineStr">
        <is>
          <t>R$/mês</t>
        </is>
      </c>
      <c r="C7" s="20" t="inlineStr">
        <is>
          <t>% da verba</t>
        </is>
      </c>
      <c r="D7" s="20" t="inlineStr">
        <is>
          <t>Objetivo</t>
        </is>
      </c>
    </row>
    <row r="8">
      <c r="A8" s="5" t="inlineStr">
        <is>
          <t>Topo</t>
        </is>
      </c>
      <c r="B8" s="22" t="n">
        <v>600</v>
      </c>
      <c r="C8" s="23">
        <f>B8/SUM($B$8:$B$11)</f>
        <v/>
      </c>
      <c r="D8" s="5" t="inlineStr">
        <is>
          <t>Meta público frio: V1 (dor) e V3 (carrossel escritura × matrícula)</t>
        </is>
      </c>
    </row>
    <row r="9">
      <c r="A9" s="5" t="inlineStr">
        <is>
          <t>Meio</t>
        </is>
      </c>
      <c r="B9" s="22" t="n">
        <v>600</v>
      </c>
      <c r="C9" s="23">
        <f>B9/SUM($B$8:$B$11)</f>
        <v/>
      </c>
      <c r="D9" s="5" t="inlineStr">
        <is>
          <t>Google Usucapião + Inventário (intenção comercial)</t>
        </is>
      </c>
    </row>
    <row r="10">
      <c r="A10" s="5" t="inlineStr">
        <is>
          <t>Fundo</t>
        </is>
      </c>
      <c r="B10" s="22" t="n">
        <v>1400</v>
      </c>
      <c r="C10" s="23">
        <f>B10/SUM($B$8:$B$11)</f>
        <v/>
      </c>
      <c r="D10" s="5" t="inlineStr">
        <is>
          <t>Google Regularização/REURB (R$ 1.000) e Marca (R$ 400)</t>
        </is>
      </c>
    </row>
    <row r="11">
      <c r="A11" s="5" t="inlineStr">
        <is>
          <t>Remarketing</t>
        </is>
      </c>
      <c r="B11" s="22" t="n">
        <v>400</v>
      </c>
      <c r="C11" s="23">
        <f>B11/SUM($B$8:$B$11)</f>
        <v/>
      </c>
      <c r="D11" s="5" t="inlineStr">
        <is>
          <t>Meta retargeting: V2 (matrícula em mãos) e remarketing de objeção de valor</t>
        </is>
      </c>
    </row>
    <row r="13">
      <c r="A13" s="19" t="inlineStr">
        <is>
          <t>Campanhas</t>
        </is>
      </c>
    </row>
    <row r="14">
      <c r="A14" s="20" t="inlineStr">
        <is>
          <t>Campanha</t>
        </is>
      </c>
      <c r="B14" s="20" t="inlineStr">
        <is>
          <t>Plataforma</t>
        </is>
      </c>
      <c r="C14" s="20" t="inlineStr">
        <is>
          <t>Funil</t>
        </is>
      </c>
      <c r="D14" s="20" t="inlineStr">
        <is>
          <t>R$/mês</t>
        </is>
      </c>
      <c r="E14" s="20" t="inlineStr">
        <is>
          <t>Tópico</t>
        </is>
      </c>
      <c r="F14" s="20" t="inlineStr">
        <is>
          <t>Estratégia</t>
        </is>
      </c>
      <c r="G14" s="20" t="inlineStr">
        <is>
          <t>Conjunto</t>
        </is>
      </c>
      <c r="H14" s="20" t="inlineStr">
        <is>
          <t>Resultado esperado</t>
        </is>
      </c>
    </row>
    <row r="15">
      <c r="A15" s="24" t="inlineStr">
        <is>
          <t>Google · Search · Regularização/REURB</t>
        </is>
      </c>
      <c r="B15" s="24" t="inlineStr">
        <is>
          <t>Google</t>
        </is>
      </c>
      <c r="C15" s="24" t="inlineStr">
        <is>
          <t>fundo</t>
        </is>
      </c>
      <c r="D15" s="24" t="n">
        <v>1000</v>
      </c>
      <c r="E15" s="24" t="inlineStr">
        <is>
          <t>Imóvel sem matrícula, regularização de casa e REURB em Caxias do Sul</t>
        </is>
      </c>
      <c r="F15" s="24" t="inlineStr">
        <is>
          <t>Máximo de conversões; CPA alvo depois de 30 dias e 15+ conversões</t>
        </is>
      </c>
      <c r="G15" s="24" t="inlineStr">
        <is>
          <t>Palavras dos clusters Regularização/REURB e Escritura/Documento; Caxias do Sul + 50 km; RSA do fundo de funil</t>
        </is>
      </c>
      <c r="H15" s="24" t="inlineStr">
        <is>
          <t>~20 leads/mês a partir de M3, CPL ~R$ 78 [E]</t>
        </is>
      </c>
    </row>
    <row r="16">
      <c r="A16" s="24" t="inlineStr">
        <is>
          <t>Google · Search · Usucapião + Inventário</t>
        </is>
      </c>
      <c r="B16" s="24" t="inlineStr">
        <is>
          <t>Google</t>
        </is>
      </c>
      <c r="C16" s="24" t="inlineStr">
        <is>
          <t>meio</t>
        </is>
      </c>
      <c r="D16" s="24" t="n">
        <v>600</v>
      </c>
      <c r="E16" s="24" t="inlineStr">
        <is>
          <t>Usucapião e inventário com imóvel</t>
        </is>
      </c>
      <c r="F16" s="24" t="inlineStr">
        <is>
          <t>Máximo de cliques nas 2 primeiras semanas, depois máximo de conversões</t>
        </is>
      </c>
      <c r="G16" s="24" t="inlineStr">
        <is>
          <t>Clusters Usucapião e Inventário/Herança; RSA do meio de funil</t>
        </is>
      </c>
      <c r="H16" s="24" t="inlineStr">
        <is>
          <t>~7 leads/mês a partir de M3 [E]</t>
        </is>
      </c>
    </row>
    <row r="17">
      <c r="A17" s="24" t="inlineStr">
        <is>
          <t>Google · Search · Marca</t>
        </is>
      </c>
      <c r="B17" s="24" t="inlineStr">
        <is>
          <t>Google</t>
        </is>
      </c>
      <c r="C17" s="24" t="inlineStr">
        <is>
          <t>fundo</t>
        </is>
      </c>
      <c r="D17" s="24" t="n">
        <v>400</v>
      </c>
      <c r="E17" s="24" t="inlineStr">
        <is>
          <t>Busca pelo nome Fixa</t>
        </is>
      </c>
      <c r="F17" s="24" t="inlineStr">
        <is>
          <t>CPC manual baixo; protege a marca enquanto o site não aparece no orgânico</t>
        </is>
      </c>
      <c r="G17" s="24" t="inlineStr">
        <is>
          <t>'fixa engenharia', 'fixa assessoria', 'fixa regularização'; RSA de marca</t>
        </is>
      </c>
      <c r="H17" s="24" t="inlineStr">
        <is>
          <t>Volume baixo; o objetivo é não perder quem já procura a Fixa</t>
        </is>
      </c>
    </row>
    <row r="18">
      <c r="A18" s="24" t="inlineStr">
        <is>
          <t>Meta · Leads WhatsApp · Público frio</t>
        </is>
      </c>
      <c r="B18" s="24" t="inlineStr">
        <is>
          <t>Meta</t>
        </is>
      </c>
      <c r="C18" s="24" t="inlineStr">
        <is>
          <t>topo</t>
        </is>
      </c>
      <c r="D18" s="24" t="n">
        <v>600</v>
      </c>
      <c r="E18" s="24" t="inlineStr">
        <is>
          <t>Dor da venda travada e confusão escritura × matrícula</t>
        </is>
      </c>
      <c r="F18" s="24" t="inlineStr">
        <is>
          <t>Campanha de mensagens (clique para WhatsApp) otimizada para conversas</t>
        </is>
      </c>
      <c r="G18" s="24" t="inlineStr">
        <is>
          <t>35–70 anos, Caxias do Sul e Serra Gaúcha (checar restrições de categoria especial); criativos V1 e V3; copy de topo</t>
        </is>
      </c>
      <c r="H18" s="24" t="inlineStr">
        <is>
          <t>~14 leads/mês a partir de M3, CPL ~R$ 42 [E]</t>
        </is>
      </c>
    </row>
    <row r="19">
      <c r="A19" s="24" t="inlineStr">
        <is>
          <t>Meta · Retargeting</t>
        </is>
      </c>
      <c r="B19" s="24" t="inlineStr">
        <is>
          <t>Meta</t>
        </is>
      </c>
      <c r="C19" s="24" t="inlineStr">
        <is>
          <t>remarketing</t>
        </is>
      </c>
      <c r="D19" s="24" t="n">
        <v>400</v>
      </c>
      <c r="E19" s="24" t="inlineStr">
        <is>
          <t>Matrícula em mãos e dúvida sobre valor</t>
        </is>
      </c>
      <c r="F19" s="24" t="inlineStr">
        <is>
          <t>Mensagens, frequência máxima de 3 por semana</t>
        </is>
      </c>
      <c r="G19" s="24" t="inlineStr">
        <is>
          <t>Visitantes da LP (pixel), engajamento do Instagram em 90 dias; criativos V2 e V4; copy de remarketing</t>
        </is>
      </c>
      <c r="H19" s="24" t="inlineStr">
        <is>
          <t>~10 leads/mês quando o público passar de 1.000 pessoas [E]</t>
        </is>
      </c>
    </row>
    <row r="21">
      <c r="A21" s="2" t="inlineStr">
        <is>
          <t>Marca nova normalmente pede 40–50% em topo, mas a demanda da Fixa é de necessidade e já existe na busca: com R$ 3.000, a verba se concentra onde a pessoa já procura. O diagnóstico da S2 previa R$ 600 em retargeting e R$ 400 em frio; aqui inverte, porque o público quente começa pequeno (LP nova, Instagram com pouco alcance).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Cronograma de 6 meses</t>
        </is>
      </c>
    </row>
    <row r="3">
      <c r="A3" s="20" t="inlineStr">
        <is>
          <t>Mês</t>
        </is>
      </c>
      <c r="B3" s="20" t="inlineStr">
        <is>
          <t>Foco</t>
        </is>
      </c>
      <c r="C3" s="20" t="inlineStr">
        <is>
          <t>Ações</t>
        </is>
      </c>
      <c r="D3" s="20" t="inlineStr">
        <is>
          <t>Meta</t>
        </is>
      </c>
      <c r="E3" s="20" t="inlineStr">
        <is>
          <t>Premissas</t>
        </is>
      </c>
      <c r="F3" s="20" t="inlineStr">
        <is>
          <t>Dependências</t>
        </is>
      </c>
    </row>
    <row r="4">
      <c r="A4" s="24" t="inlineStr">
        <is>
          <t>M1</t>
        </is>
      </c>
      <c r="B4" s="24" t="inlineStr">
        <is>
          <t>Setup e aprendizado</t>
        </is>
      </c>
      <c r="C4" s="24" t="inlineStr">
        <is>
          <t>Sem 0: LP no ar, GA4 + pixel testados, número novo no Kommo, agente de IA e réguas testados (checklist do crm-setup)
Sem 1: subir as 5 campanhas com a copy aprovada e os criativos V1–V4; nenhuma mudança por 7 dias
Sem 2: primeira leitura (CTR, CPC, conversas); negativar termos irrelevantes no Google
Sem 3–4: pausar o pior anúncio por campanha; revisar a triagem do agente nas conversas reais</t>
        </is>
      </c>
      <c r="D4" s="24" t="inlineStr">
        <is>
          <t>~39 leads, CPL até ~R$ 77, 100% dos leads registrados no Kommo</t>
        </is>
      </c>
      <c r="E4" s="24" t="inlineStr">
        <is>
          <t>LP, tracking e Kommo prontos antes do 1º real</t>
        </is>
      </c>
      <c r="F4" s="24" t="inlineStr">
        <is>
          <t>Chip do número novo
Logo aprovado e criativos V1 e V3 prontos
Aprovação dos scripts do SDR pelos sócios</t>
        </is>
      </c>
    </row>
    <row r="5">
      <c r="A5" s="24" t="inlineStr">
        <is>
          <t>M2</t>
        </is>
      </c>
      <c r="B5" s="24" t="inlineStr">
        <is>
          <t>Otimização 1</t>
        </is>
      </c>
      <c r="C5" s="24" t="inlineStr">
        <is>
          <t>Trocar 1 elemento por vez nos anúncios vencedores (gancho, imagem ou formato)
Google: mudar para CPA alvo quando houver 15+ conversões
Revisar as 5 perguntas de scoring com os dados reais (primeira leitura de 30 dias)</t>
        </is>
      </c>
      <c r="D5" s="24" t="inlineStr">
        <is>
          <t>~42 leads, CPL ~R$ 72</t>
        </is>
      </c>
      <c r="E5" s="24" t="inlineStr">
        <is>
          <t>Criativos V2 e V4 com foto real entram no ar</t>
        </is>
      </c>
      <c r="F5" s="24" t="inlineStr">
        <is>
          <t>Fotos de entrega e do evento REURB com autorização</t>
        </is>
      </c>
    </row>
    <row r="6">
      <c r="A6" s="24" t="inlineStr">
        <is>
          <t>M3</t>
        </is>
      </c>
      <c r="B6" s="24" t="inlineStr">
        <is>
          <t>Otimização 2</t>
        </is>
      </c>
      <c r="C6" s="24" t="inlineStr">
        <is>
          <t>Concentrar a verba nos 2 melhores conjuntos de cada plataforma
Testar o reels do Carlos (pack de vídeo) contra o melhor estático
Leitura de CAC: contratos de origem digital × investimento</t>
        </is>
      </c>
      <c r="D6" s="24" t="inlineStr">
        <is>
          <t>~50 leads, CPL ~R$ 60, primeiros contratos fechados de origem digital</t>
        </is>
      </c>
      <c r="E6" s="24" t="inlineStr">
        <is>
          <t>Taxa de 1º contato no SLA acima de 80%</t>
        </is>
      </c>
      <c r="F6" s="24" t="inlineStr">
        <is>
          <t>Sócios operando o Kommo pelo celular</t>
        </is>
      </c>
    </row>
    <row r="7">
      <c r="A7" s="24" t="inlineStr">
        <is>
          <t>M4</t>
        </is>
      </c>
      <c r="B7" s="24" t="inlineStr">
        <is>
          <t>Escala 1 (condicionada)</t>
        </is>
      </c>
      <c r="C7" s="24" t="inlineStr">
        <is>
          <t>Se os critérios de escala forem atingidos: subir para R$ 4.000, no máximo +20% por semana por campanha
Abrir uma praça nova na Serra (Bento Gonçalves, Farroupilha) em conjunto separado
Meta: públicos semelhantes a quem chegou a 'Análise do caso'</t>
        </is>
      </c>
      <c r="D7" s="24" t="inlineStr">
        <is>
          <t>~64 leads, CPL até R$ 65</t>
        </is>
      </c>
      <c r="E7" s="24" t="inlineStr">
        <is>
          <t>CPL até R$ 65 e pelo menos 1 contrato digital por mês em M3</t>
        </is>
      </c>
      <c r="F7" s="24" t="inlineStr">
        <is>
          <t>OK do Carlos para a verba nova</t>
        </is>
      </c>
    </row>
    <row r="8">
      <c r="A8" s="24" t="inlineStr">
        <is>
          <t>M5</t>
        </is>
      </c>
      <c r="B8" s="24" t="inlineStr">
        <is>
          <t>Escala 2</t>
        </is>
      </c>
      <c r="C8" s="24" t="inlineStr">
        <is>
          <t>Subir para R$ 5.000 se o CPL de M4 ficou em até R$ 65
Renovar criativos com frequência acima de 3
Medir consumo de créditos de IA do Kommo (limite de 2.250/mês)</t>
        </is>
      </c>
      <c r="D8" s="24" t="inlineStr">
        <is>
          <t>~77 leads, CPL ~R$ 65</t>
        </is>
      </c>
      <c r="E8" s="24" t="inlineStr">
        <is>
          <t>Capacidade dos dois sócios para ~20 leads 4★/5★ por mês</t>
        </is>
      </c>
      <c r="F8" s="24" t="inlineStr">
        <is>
          <t>Avaliar 2º usuário no Kommo se o volume pedir</t>
        </is>
      </c>
    </row>
    <row r="9">
      <c r="A9" s="24" t="inlineStr">
        <is>
          <t>M6</t>
        </is>
      </c>
      <c r="B9" s="24" t="inlineStr">
        <is>
          <t>Escala 3 e revisão</t>
        </is>
      </c>
      <c r="C9" s="24" t="inlineStr">
        <is>
          <t>Manter R$ 5.000 e otimizar pelo CAC, não só pelo CPL
Revisar o forecast com 6 meses de dados reais
Decidir o próximo semestre: nova praça, nova verba ou manutenção</t>
        </is>
      </c>
      <c r="D9" s="24" t="inlineStr">
        <is>
          <t>~83 leads, CPL ~R$ 60</t>
        </is>
      </c>
      <c r="E9" s="24" t="inlineStr">
        <is>
          <t>Dados de 5 meses no Kommo para recalibrar</t>
        </is>
      </c>
      <c r="F9" s="24" t="inlineStr">
        <is>
          <t>Leitura mensal de CAC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6" customWidth="1" min="3" max="3"/>
    <col width="60" customWidth="1" min="4" max="4"/>
  </cols>
  <sheetData>
    <row r="1">
      <c r="A1" s="1" t="inlineStr">
        <is>
          <t>Alertas de pausa e critérios de escala</t>
        </is>
      </c>
    </row>
    <row r="3">
      <c r="A3" s="20" t="inlineStr">
        <is>
          <t>Tipo</t>
        </is>
      </c>
      <c r="B3" s="20" t="inlineStr">
        <is>
          <t>Métrica</t>
        </is>
      </c>
      <c r="C3" s="20" t="inlineStr">
        <is>
          <t>Limite</t>
        </is>
      </c>
      <c r="D3" s="20" t="inlineStr">
        <is>
          <t>Ação</t>
        </is>
      </c>
    </row>
    <row r="4">
      <c r="A4" s="5" t="inlineStr">
        <is>
          <t>Alerta</t>
        </is>
      </c>
      <c r="B4" s="5" t="inlineStr">
        <is>
          <t>CPL (semanal, por campanha)</t>
        </is>
      </c>
      <c r="C4" s="5" t="inlineStr">
        <is>
          <t>&gt; R$ 100 por 7 dias seguidos</t>
        </is>
      </c>
      <c r="D4" s="5" t="inlineStr">
        <is>
          <t>Pausar o pior anúncio da campanha e revisar termos de busca e público</t>
        </is>
      </c>
    </row>
    <row r="5">
      <c r="A5" s="5" t="inlineStr">
        <is>
          <t>Alerta</t>
        </is>
      </c>
      <c r="B5" s="5" t="inlineStr">
        <is>
          <t>CTR Meta</t>
        </is>
      </c>
      <c r="C5" s="5" t="inlineStr">
        <is>
          <t>&lt; 0,8% após 1.000 impressões</t>
        </is>
      </c>
      <c r="D5" s="5" t="inlineStr">
        <is>
          <t>Trocar o criativo ou o gancho</t>
        </is>
      </c>
    </row>
    <row r="6">
      <c r="A6" s="5" t="inlineStr">
        <is>
          <t>Alerta</t>
        </is>
      </c>
      <c r="B6" s="5" t="inlineStr">
        <is>
          <t>CTR Google</t>
        </is>
      </c>
      <c r="C6" s="5" t="inlineStr">
        <is>
          <t>&lt; 3% após 7 dias</t>
        </is>
      </c>
      <c r="D6" s="5" t="inlineStr">
        <is>
          <t>Revisar títulos e negativar termos</t>
        </is>
      </c>
    </row>
    <row r="7">
      <c r="A7" s="5" t="inlineStr">
        <is>
          <t>Alerta</t>
        </is>
      </c>
      <c r="B7" s="5" t="inlineStr">
        <is>
          <t>CPC Google</t>
        </is>
      </c>
      <c r="C7" s="5" t="inlineStr">
        <is>
          <t>&gt; R$ 12 na média semanal</t>
        </is>
      </c>
      <c r="D7" s="5" t="inlineStr">
        <is>
          <t>Reduzir lances e conferir a concorrência no leilão (Balen)</t>
        </is>
      </c>
    </row>
    <row r="8">
      <c r="A8" s="5" t="inlineStr">
        <is>
          <t>Alerta</t>
        </is>
      </c>
      <c r="B8" s="5" t="inlineStr">
        <is>
          <t>Frequência Meta</t>
        </is>
      </c>
      <c r="C8" s="5" t="inlineStr">
        <is>
          <t>&gt; 3 por semana no retargeting</t>
        </is>
      </c>
      <c r="D8" s="5" t="inlineStr">
        <is>
          <t>Renovar criativo ou reduzir verba do retargeting</t>
        </is>
      </c>
    </row>
    <row r="9">
      <c r="A9" s="5" t="inlineStr">
        <is>
          <t>Alerta</t>
        </is>
      </c>
      <c r="B9" s="5" t="inlineStr">
        <is>
          <t>Gasto diário</t>
        </is>
      </c>
      <c r="C9" s="5" t="inlineStr">
        <is>
          <t>&gt; 130% da média diária planejada</t>
        </is>
      </c>
      <c r="D9" s="5" t="inlineStr">
        <is>
          <t>Conferir limites de campanha e pausar a que estourou</t>
        </is>
      </c>
    </row>
    <row r="10">
      <c r="A10" s="5" t="inlineStr">
        <is>
          <t>Alerta</t>
        </is>
      </c>
      <c r="B10" s="5" t="inlineStr">
        <is>
          <t>Leads sem 1º contato no SLA</t>
        </is>
      </c>
      <c r="C10" s="5" t="inlineStr">
        <is>
          <t>&gt; 20% dos 4★/5★ na semana</t>
        </is>
      </c>
      <c r="D10" s="5" t="inlineStr">
        <is>
          <t>Segurar a escala: o gargalo voltou para o atendimento</t>
        </is>
      </c>
    </row>
    <row r="11">
      <c r="A11" s="5" t="inlineStr">
        <is>
          <t>Escala</t>
        </is>
      </c>
      <c r="B11" s="5" t="inlineStr">
        <is>
          <t>CPL de mídia</t>
        </is>
      </c>
      <c r="C11" s="5" t="inlineStr">
        <is>
          <t>≤ R$ 65 por 2 semanas seguidas</t>
        </is>
      </c>
      <c r="D11" s="5" t="inlineStr">
        <is>
          <t>Subir a verba em até 20% por semana na campanha vencedora</t>
        </is>
      </c>
    </row>
    <row r="12">
      <c r="A12" s="5" t="inlineStr">
        <is>
          <t>Escala</t>
        </is>
      </c>
      <c r="B12" s="5" t="inlineStr">
        <is>
          <t>Contratos de origem digital</t>
        </is>
      </c>
      <c r="C12" s="5" t="inlineStr">
        <is>
          <t>≥ 1 por mês</t>
        </is>
      </c>
      <c r="D12" s="5" t="inlineStr">
        <is>
          <t>Liberar a escala de M4 (R$ 4.000)</t>
        </is>
      </c>
    </row>
    <row r="13">
      <c r="A13" s="5" t="inlineStr">
        <is>
          <t>Escala</t>
        </is>
      </c>
      <c r="B13" s="5" t="inlineStr">
        <is>
          <t>% de leads 4★/5★</t>
        </is>
      </c>
      <c r="C13" s="5" t="inlineStr">
        <is>
          <t>≥ 30%</t>
        </is>
      </c>
      <c r="D13" s="5" t="inlineStr">
        <is>
          <t>Manter público e copy; testar praça nova</t>
        </is>
      </c>
    </row>
    <row r="14">
      <c r="A14" s="5" t="inlineStr">
        <is>
          <t>Escala</t>
        </is>
      </c>
      <c r="B14" s="5" t="inlineStr">
        <is>
          <t>ROAS em valor contratado</t>
        </is>
      </c>
      <c r="C14" s="5" t="inlineStr">
        <is>
          <t>≥ 4x no acumulado</t>
        </is>
      </c>
      <c r="D14" s="5" t="inlineStr">
        <is>
          <t>Liberar R$ 5.000 em M5–M6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Premissas, dependências e disclaimer</t>
        </is>
      </c>
    </row>
    <row r="3">
      <c r="A3" s="19" t="inlineStr">
        <is>
          <t>Premissas</t>
        </is>
      </c>
    </row>
    <row r="4">
      <c r="A4" s="25" t="inlineStr">
        <is>
          <t>• Verba: R$ 3.000/mês aprovada pelo Carlos em 23/09 (Cenário B). M4–M6 (R$ 4.000–5.000) é proposta condicionada, ainda não aprovada.</t>
        </is>
      </c>
    </row>
    <row r="5">
      <c r="A5" s="25" t="inlineStr">
        <is>
          <t>• CPC e CTR: Google R$ 7–8 e 4–5% (clusters do diagnóstico de mídia, faixa de R$ 4–12); Meta R$ 2,5–2,8 e 1–1,2% [E].</t>
        </is>
      </c>
    </row>
    <row r="6">
      <c r="A6" s="25" t="inlineStr">
        <is>
          <t>• Conversão da página para conversa no WhatsApp: Google 7,4–9,5%, Meta 5,6–6,2% [E]. Benchmark de serviços: CVR de LP de 5% a 18% (referência da skill).</t>
        </is>
      </c>
    </row>
    <row r="7">
      <c r="A7" s="25" t="inlineStr">
        <is>
          <t>• CPL resultante: Google ~R$ 78 e Meta ~R$ 42 a partir de M3, dentro da faixa baixa-média do benchmark de serviços jurídicos (Google R$ 60–150, Meta R$ 40–90).</t>
        </is>
      </c>
    </row>
    <row r="8">
      <c r="A8" s="25" t="inlineStr">
        <is>
          <t>• Funil comercial: 45–50% dos leads com 3★+; 22–29% chegam à análise do caso (65% × 45% do diagnóstico comercial); 80% de comparecimento [E]; 57% recebem proposta e 30% fecham (diagnóstico comercial). Resultado: ~4% de lead para contrato.</t>
        </is>
      </c>
    </row>
    <row r="9">
      <c r="A9" s="25" t="inlineStr">
        <is>
          <t>• Ticket médio ponderado de R$ 10.100 [E]: 50% regularização de casa (R$ 5 mil), 30% usucapião (R$ 12 mil), 20% inventário (R$ 20 mil). REURB de loteamento (R$ 100–400 mil) fica fora: é captado por relacionamento, e um único contrato muda o resultado.</t>
        </is>
      </c>
    </row>
    <row r="10">
      <c r="A10" s="25" t="inlineStr">
        <is>
          <t>• Valor contratado ≠ caixa: os clientes pagam parcelado (até 12–25x), então o caixa entra ao longo dos meses.</t>
        </is>
      </c>
    </row>
    <row r="12">
      <c r="A12" s="19" t="inlineStr">
        <is>
          <t>Dependências</t>
        </is>
      </c>
    </row>
    <row r="13">
      <c r="A13" s="25" t="inlineStr">
        <is>
          <t>• Landing page no ar com o número novo de WhatsApp e tracking (GA4 + pixel) testado antes do 1º real.</t>
        </is>
      </c>
    </row>
    <row r="14">
      <c r="A14" s="25" t="inlineStr">
        <is>
          <t>• Kommo com agente de IA, réguas e SLA configurados e testados (crm-setup + sdr-ia-config).</t>
        </is>
      </c>
    </row>
    <row r="15">
      <c r="A15" s="25" t="inlineStr">
        <is>
          <t>• Carlos e Christian fazendo o 1º contato no SLA (30 min para 5★, 4h para 4★, em horário comercial).</t>
        </is>
      </c>
    </row>
    <row r="16">
      <c r="A16" s="25" t="inlineStr">
        <is>
          <t>• Criativos V1 e V3 prontos no lançamento; V2 e V4 dependem de fotos reais com autorização.</t>
        </is>
      </c>
    </row>
    <row r="17">
      <c r="A17" s="25" t="inlineStr">
        <is>
          <t>• Nenhum número deste forecast é garantia: é uma projeção de lançamento sem histórico, para revisar com dados reais a cada 30 dias.</t>
        </is>
      </c>
    </row>
    <row r="19">
      <c r="A19" s="19" t="inlineStr">
        <is>
          <t>Disclaimer</t>
        </is>
      </c>
    </row>
    <row r="20">
      <c r="A20" s="25" t="inlineStr">
        <is>
          <t>• Forecast não é promessa: é a melhor estimativa com a informação de hoje, sem nenhum histórico de mídia da Fixa.</t>
        </is>
      </c>
    </row>
    <row r="21">
      <c r="A21" s="25" t="inlineStr">
        <is>
          <t>• Qualidade e renovação dos criativos mudam o CPL mais do que qualquer outra variável.</t>
        </is>
      </c>
    </row>
    <row r="22">
      <c r="A22" s="25" t="inlineStr">
        <is>
          <t>• Tempo de resposta aos leads: se o 1º contato sair do SLA, a conversão cai e o CAC sobe, mesmo com mídia boa.</t>
        </is>
      </c>
    </row>
    <row r="23">
      <c r="A23" s="25" t="inlineStr">
        <is>
          <t>• Aprendizado dos algoritmos: conta nova pode levar mais que 30 dias para estabilizar.</t>
        </is>
      </c>
    </row>
    <row r="24">
      <c r="A24" s="25" t="inlineStr">
        <is>
          <t>• Concorrência no leilão: se a Balen intensificar a mídia em Caxias do Sul, o CPC do Google sobe.</t>
        </is>
      </c>
    </row>
    <row r="25">
      <c r="A25" s="25" t="inlineStr">
        <is>
          <t>• Regras de anúncio: a categoria especial de imóveis da Meta pode limitar a segmentação por idade e região.</t>
        </is>
      </c>
    </row>
    <row r="26">
      <c r="A26" s="25" t="inlineStr">
        <is>
          <t>• Sazonalidade: dezembro e janeiro tendem a ter menos demanda de cartório e prefeitura (recesso) [E].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2026-10-02T12:53:03Z</dcterms:created>
  <dcterms:modified xsi:type="dcterms:W3CDTF">2026-10-02T12:53:03Z</dcterms:modified>
</cp:coreProperties>
</file>